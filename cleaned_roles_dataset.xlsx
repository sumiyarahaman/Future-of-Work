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Summary" sheetId="1" r:id="rId4"/>
    <sheet state="visible" name="Cleaned Roles Dataset" sheetId="2" r:id="rId5"/>
    <sheet state="visible" name="Skill &amp; Terminology Clusters" sheetId="3" r:id="rId6"/>
  </sheets>
  <definedNames>
    <definedName hidden="1" localSheetId="1" name="_xlnm._FilterDatabase">'Cleaned Roles Dataset'!$A$2:$H$37</definedName>
    <definedName name="MY_FUNCTION1">LAMBDA(IF('Cleaned Roles Dataset'!$B$3="","",ROWS('Cleaned Roles Dataset'!$B$3)))</definedName>
  </definedNames>
  <calcPr/>
  <extLst>
    <ext uri="GoogleSheetsCustomDataVersion2">
      <go:sheetsCustomData xmlns:go="http://customooxmlschemas.google.com/" r:id="rId7" roundtripDataChecksum="IsND4guEtC+JIHgnZbFzWN0/qk1O4Msm8AcKCs444Aw="/>
    </ext>
  </extLst>
</workbook>
</file>

<file path=xl/sharedStrings.xml><?xml version="1.0" encoding="utf-8"?>
<sst xmlns="http://schemas.openxmlformats.org/spreadsheetml/2006/main" count="324" uniqueCount="255">
  <si>
    <t>DATASET METRICS BY DOMAIN CATEGORY</t>
  </si>
  <si>
    <t>Cleaned Job Roles &amp; Competencies Dataset</t>
  </si>
  <si>
    <t>Skill &amp; Terminology Clusters (Neo4j Graph Target)</t>
  </si>
  <si>
    <t>ID</t>
  </si>
  <si>
    <t>Role Title</t>
  </si>
  <si>
    <t>Domain Category</t>
  </si>
  <si>
    <t>Organization / Company</t>
  </si>
  <si>
    <t>Key Emerging Skills &amp; Tools</t>
  </si>
  <si>
    <t>Business &amp; Competency Requirements</t>
  </si>
  <si>
    <t>Emerging Terminology / Surface Aliases</t>
  </si>
  <si>
    <t>Source Document / Link</t>
  </si>
  <si>
    <t>Surface Term Aliases to Canonical Skill Node Resolution Pipeline Data</t>
  </si>
  <si>
    <t>Role Count</t>
  </si>
  <si>
    <t>Primary Focus &amp; Skills</t>
  </si>
  <si>
    <t>NEO4J ALIAS RESOLUTION SCHEMA &amp; CLUSTER EXAMPLES</t>
  </si>
  <si>
    <t>Sample Alias Candidates</t>
  </si>
  <si>
    <t>Product Experience Designer (PXD), Senior Analyst</t>
  </si>
  <si>
    <t>AI &amp; LLM Integration</t>
  </si>
  <si>
    <t>HCI &amp; Prototyping</t>
  </si>
  <si>
    <t>Cluster ID</t>
  </si>
  <si>
    <t>EAB</t>
  </si>
  <si>
    <t>Figma, AI-assisted design tools, Prototyping, Visual Design</t>
  </si>
  <si>
    <t>Canonical Skill Node</t>
  </si>
  <si>
    <t>Cross-functional collaboration, Product storytelling, Agile</t>
  </si>
  <si>
    <t>commercial product experiences, narrative-driven demonstrations, future-state concepts</t>
  </si>
  <si>
    <t>Observed Surface Term Aliases (ALIAS_OF)</t>
  </si>
  <si>
    <t>https://docs.google.com/document/d/1eTlZGVHKwdpmNTbVFze2Wr2wX27OUFJ96-DklGwMfiI/edit?tab=t.0</t>
  </si>
  <si>
    <t>Existing Taxonomy Match Status</t>
  </si>
  <si>
    <t>UX Strategist</t>
  </si>
  <si>
    <t>LLM Evaluation &amp; Rubric Engineering</t>
  </si>
  <si>
    <t>UX Strategy &amp; Research Ops</t>
  </si>
  <si>
    <t>Ascensus</t>
  </si>
  <si>
    <t>Figma, Design Thinking, Agile, Lean, User Research</t>
  </si>
  <si>
    <t>Strategic influence, Persuasion, Qualitative &amp; quantitative storytelling</t>
  </si>
  <si>
    <t>north-star experiences, service design, opportunity framing</t>
  </si>
  <si>
    <t>LLM-as-judge, golden dataset creation, eval rubrics, AI model benchmarking, human-in-the-loop review</t>
  </si>
  <si>
    <t>Unmatched (Emerging)</t>
  </si>
  <si>
    <t>User Research Operations Specialist</t>
  </si>
  <si>
    <t>Compass</t>
  </si>
  <si>
    <t>Google Sheets, PowerBI, SQL, Qualtrics, Dovetail, Figma</t>
  </si>
  <si>
    <t>Process improvement, Stakeholder management, Systems thinking</t>
  </si>
  <si>
    <t>research enablement, insights repository, participant management platform</t>
  </si>
  <si>
    <t>Senior UX Innovation Research Specialist</t>
  </si>
  <si>
    <t>Consulting / Venture</t>
  </si>
  <si>
    <t>Figma, Balsamiq, Mural, Miro, Design Sprints</t>
  </si>
  <si>
    <t>TAM/SAM/SOM analysis, P&amp;L, ROI, Financial business planning</t>
  </si>
  <si>
    <t>0-1 product development, pro forma financial statements, desirability prototypes</t>
  </si>
  <si>
    <t>Manager, Decision Science Products</t>
  </si>
  <si>
    <t>Decision Science &amp; Analytics</t>
  </si>
  <si>
    <t>The Walt Disney Company (DDSI)</t>
  </si>
  <si>
    <t>SQL, Python/R, Optimization, ML, Data Mesh, Tableau</t>
  </si>
  <si>
    <t>Executive communication, Backlog hygiene, Strategic prioritization</t>
  </si>
  <si>
    <t>decision science products, zero copy architecture, agentic AI products</t>
  </si>
  <si>
    <t>AI Solutions Lead</t>
  </si>
  <si>
    <t>Amerit Fleet Solutions</t>
  </si>
  <si>
    <t>Claude, LLMs, Advanced Prompting (CoT, few-shot), UI Mockups</t>
  </si>
  <si>
    <t>ROI analysis, Business case design, Executive alignment</t>
  </si>
  <si>
    <t>prompt libraries, chain-of-thought prompting, LLM failure modes</t>
  </si>
  <si>
    <t>https://docs.google.com/document/d/1qTu5JKd99SyMo84v_ZspVn7i7EIyY5LsDobodbB7DNk/edit?usp=sharing</t>
  </si>
  <si>
    <t>UX Researchers, AI Evaluations</t>
  </si>
  <si>
    <t>Notion</t>
  </si>
  <si>
    <t>Python, SQL, R, Dovetail, Braintrust, LLM-as-judge</t>
  </si>
  <si>
    <t>Rubric design, Psychometrics, Systems thinking, Prioritization</t>
  </si>
  <si>
    <t>evaluation rubrics, human-in-the-loop review, golden dataset creation</t>
  </si>
  <si>
    <t>Generative AI, Prompting, Evaluation Rubrics, Claude</t>
  </si>
  <si>
    <t>Design Research &amp; Experience Strategist</t>
  </si>
  <si>
    <t>Healthcare / Consumer Agency</t>
  </si>
  <si>
    <t>Contextual inquiry, Ethnography, Journey mapping, Service blueprinting</t>
  </si>
  <si>
    <t>Workshop facilitation, Business development, Mentorship</t>
  </si>
  <si>
    <t>experience principles, service concepts, front-end innovation roadmaps</t>
  </si>
  <si>
    <t>Life Sciences Experience Design Strategy Manager</t>
  </si>
  <si>
    <t>Deloitte</t>
  </si>
  <si>
    <t>Service blueprinting, Journey mapping, AI tools, Agile</t>
  </si>
  <si>
    <t>agentic workflows, LLM-as-judge, prompt templates</t>
  </si>
  <si>
    <t>Commercial operating models, Executive presentation, Workplan development</t>
  </si>
  <si>
    <t>patient services strategy, human-centered commercial impact, experience strategy</t>
  </si>
  <si>
    <t>Innovation Lab Strategist</t>
  </si>
  <si>
    <t>Organizational Transformation &amp; HCD</t>
  </si>
  <si>
    <t>Professional Services / Law Firm</t>
  </si>
  <si>
    <t>Design thinking, Ethnography, Virtual workshop platforms</t>
  </si>
  <si>
    <t>Relationship building, Legal tech awareness, Problem-solving</t>
  </si>
  <si>
    <t>Design Intelligence framework, legal innovation, workshop facilitation</t>
  </si>
  <si>
    <t>https://docs.google.com/document/d/1lHeFmBY9vy4R362XcYpwscSgJu7XMna7D_xt0v43Dus/edit?usp=sharing</t>
  </si>
  <si>
    <t>Frontier AI Research Lead</t>
  </si>
  <si>
    <t>Emerging Tech &amp; Policy</t>
  </si>
  <si>
    <t>CSET</t>
  </si>
  <si>
    <t>LLMs, Multimodal AI, Empirical data analysis, Data visualization</t>
  </si>
  <si>
    <t>Policy briefing, Team supervision, Risk management</t>
  </si>
  <si>
    <t>frontier AI governance, dangerous capabilities, compute scaling laws</t>
  </si>
  <si>
    <t>https://docs.google.com/document/d/1490eZEnEmwL3Q39uMlEXYTkIALglq8i-1mvutvQh--k/edit?usp=sharing</t>
  </si>
  <si>
    <t>Principal, Programs and Policy (Tech and AI)</t>
  </si>
  <si>
    <t>Omidyar Network</t>
  </si>
  <si>
    <t>Deal diligence, Grantmaking, Stakeholder convening, Policy memos</t>
  </si>
  <si>
    <t>Capital deployment, Network building, Strategic communication</t>
  </si>
  <si>
    <t>responsible AI strategy, public-interest tech, frontier tech governance</t>
  </si>
  <si>
    <t>https://www.linkedin.com/jobs/search-results/?currentJobId=4419487393</t>
  </si>
  <si>
    <t>Agentic Workflow &amp; Interaction Design</t>
  </si>
  <si>
    <t>UX Researcher, XR Experiences</t>
  </si>
  <si>
    <t>Google</t>
  </si>
  <si>
    <t>Predictive Modeling, Optimization, SQL, Python, R</t>
  </si>
  <si>
    <t>Field studies, Usability testing, Quantitative logs analysis</t>
  </si>
  <si>
    <t>Executive alignment, Cross-functional partnership</t>
  </si>
  <si>
    <t>smart glasses, contextually aware AI, human ergonomics/physiology</t>
  </si>
  <si>
    <t>decision science products, analytic judgment, ML Ops</t>
  </si>
  <si>
    <t>Researcher, Education Labs</t>
  </si>
  <si>
    <t>Anthropic</t>
  </si>
  <si>
    <t>Python, LLMs, Psychometrics, Experimental design, Data analysis</t>
  </si>
  <si>
    <t>Action research, Mixed methods, Cross-functional collaboration</t>
  </si>
  <si>
    <t>AI fluency, capability growth metrics, learning sciences instruments</t>
  </si>
  <si>
    <t>Senior Human Factors Research Engineer</t>
  </si>
  <si>
    <t>Human Systems Integration &amp; Hardware</t>
  </si>
  <si>
    <t>Intuitive Surgical</t>
  </si>
  <si>
    <t>agentic experiences, conversational AI interaction, prompt libraries, chain-of-thought prompting</t>
  </si>
  <si>
    <t>Python, C++, Databricks, Snowflake, Bioinstrumentation, ML</t>
  </si>
  <si>
    <t>Data testing/ETL, Medical device regulatory standards, Cross-team leadership</t>
  </si>
  <si>
    <t>robotic teleoperations, sensorimotor control, bioinstrumentation psychometrics</t>
  </si>
  <si>
    <t>Partial Match (ESCO)</t>
  </si>
  <si>
    <t>https://docs.google.com/document/d/1C2e1y7VBA9OHhhML04KLomAlfLEzPkRZFONxc7tgq7o/edit?usp=sharing</t>
  </si>
  <si>
    <t>Figma, Interactive Prototyping, Multimodal UI</t>
  </si>
  <si>
    <t>Sr. Cultural Researcher, Futures Insights</t>
  </si>
  <si>
    <t>Amazon</t>
  </si>
  <si>
    <t>Ethnography, STEEP analysis, Futures Triangle, Causal Layer Analysis, Figma</t>
  </si>
  <si>
    <t>future-state concepts, 0-1 product design, narrative demos</t>
  </si>
  <si>
    <t>Strategic foresight, Global field research, Workshop facilitation</t>
  </si>
  <si>
    <t>Decision Science Productization</t>
  </si>
  <si>
    <t>STEEP analysis, humanity-centered innovation, futures design provocations</t>
  </si>
  <si>
    <t>https://docs.google.com/document/d/1eTlZGVHKwdpmNTbVFze2Wr2wX27OUFJ96-DklGwMfiI/edit?tab=t.0#heading=h.y275v9yfk741</t>
  </si>
  <si>
    <t>decision science products, zero-copy architecture, forecasting UX, analytic workflow redesign</t>
  </si>
  <si>
    <t>AI Policy Lead</t>
  </si>
  <si>
    <t>Cognition</t>
  </si>
  <si>
    <t>Tactical Edge &amp; DDIL UX</t>
  </si>
  <si>
    <t>Policy position whitepapers, Briefing materials, Public-private partnerships</t>
  </si>
  <si>
    <t>Government affairs, Risk mitigation, Stakeholder influence</t>
  </si>
  <si>
    <t>tactical edge UX, DDIL environments, warfighting software usability, 3D spatial awareness</t>
  </si>
  <si>
    <t>national security AI policy, public sector AI modernization</t>
  </si>
  <si>
    <t>Unmatched (O*NET)</t>
  </si>
  <si>
    <t>Semantic Layer &amp; Ontological Modeling</t>
  </si>
  <si>
    <t>Knowledge &amp; Ontologies</t>
  </si>
  <si>
    <t>Senior Expert - Tech &amp; Innovation Thought Leadership</t>
  </si>
  <si>
    <t>Semantic Modeling Language (SML), data mesh semantic views, OWL domain ontologies, SHACL validation</t>
  </si>
  <si>
    <t>Partial Match (LinkedIn)</t>
  </si>
  <si>
    <t>The Economist Group (EIU)</t>
  </si>
  <si>
    <t>Tech/Telecom forecasting, Qualitative interviews, Data analysis</t>
  </si>
  <si>
    <t>Strategic Foresight &amp; STEEP Analysis</t>
  </si>
  <si>
    <t>Research Repositories, Dovetail, PowerBI, Qualtrics</t>
  </si>
  <si>
    <t>Editorial leadership, Client relationship management, Project management</t>
  </si>
  <si>
    <t>frontier technologies, innovation systems, AI labor market displacement</t>
  </si>
  <si>
    <t>STEEP analysis, Causal Layer Analysis, Futures Triangle, humanity-centered innovation</t>
  </si>
  <si>
    <t>insights scaling, research enablement, journey mapping</t>
  </si>
  <si>
    <t>Research Enablement &amp; Insights Operations</t>
  </si>
  <si>
    <t>Senior Researcher, AI Civics</t>
  </si>
  <si>
    <t>research enablement, insights repository, participant management platform, research ops scaling</t>
  </si>
  <si>
    <t>Matched (LinkedIn)</t>
  </si>
  <si>
    <t>Data &amp; Society</t>
  </si>
  <si>
    <t>Participatory Action Research, Co-design, Curriculum design</t>
  </si>
  <si>
    <t>Human Systems Integration in Space/Robotics</t>
  </si>
  <si>
    <t>Inter-organizational partnership, Grantwriting, Public profile</t>
  </si>
  <si>
    <t>NASA HSI process, master task analysis, bioinstrumentation psychometrics, robotic teleoperations</t>
  </si>
  <si>
    <t>civic tools for AI, democratic accountability over AI, train-the-trainer</t>
  </si>
  <si>
    <t>Partial Match (O*NET)</t>
  </si>
  <si>
    <t>VP, Human-AI Experience &amp; Adoption</t>
  </si>
  <si>
    <t>Chubb</t>
  </si>
  <si>
    <t>LLM power usage, Prototyping, Journey mapping, Feedback loops</t>
  </si>
  <si>
    <t>Enterprise change management, Executive sponsorship, Data governance</t>
  </si>
  <si>
    <t>human-AI experience design, AI native productivity, institutional memory query</t>
  </si>
  <si>
    <t>HSI Standards, Robotics, Tactical Edge, DDIL, NASA HSI</t>
  </si>
  <si>
    <t>tactical edge UX, 3D spatial awareness, task analysis</t>
  </si>
  <si>
    <t>Program Innovation Manager</t>
  </si>
  <si>
    <t>International Justice Mission (IJM)</t>
  </si>
  <si>
    <t>Figma, FigJam, Low-code/AI prototyping, HCD, MS Office</t>
  </si>
  <si>
    <t>Cross-cultural collaboration, Strategic thinking, Safeguarding compliance</t>
  </si>
  <si>
    <t>justice system tech solutions, technology-enabled programming, rapid prototyping</t>
  </si>
  <si>
    <t>https://docs.google.com/document/d/1dIWJY8r1RFDIOEATbl-jTqHbhP33wMuaFn3ZQ2XAL_k/edit?usp=sharing</t>
  </si>
  <si>
    <t>Disruption Designer</t>
  </si>
  <si>
    <t>Federal / Defense Contractor</t>
  </si>
  <si>
    <t>Design Intelligence framework, Change management, Workshops, Persona design</t>
  </si>
  <si>
    <t>Agile delivery, KPI development, Stakeholder communication</t>
  </si>
  <si>
    <t>Disruption design, change enablement, current state journeys</t>
  </si>
  <si>
    <t>STEEP Analysis, Foresight, Policy Briefings, Grantmaking</t>
  </si>
  <si>
    <t>UI/UX Designer</t>
  </si>
  <si>
    <t>Black Cape</t>
  </si>
  <si>
    <t>Figma, Adobe CS, Wireframing, High-fidelity mockups</t>
  </si>
  <si>
    <t>frontier AI governance, Causal Layer Analysis, STEEP</t>
  </si>
  <si>
    <t>Tactical workflow design, Agile collaboration, Security compliance</t>
  </si>
  <si>
    <t>tactical operations UI, secure government workflows, cleared design</t>
  </si>
  <si>
    <t>Data Architect</t>
  </si>
  <si>
    <t>ACLU</t>
  </si>
  <si>
    <t>Conceptual/Logical Data Modeling, SQL, Redshift, Snowflake, Python, dbt</t>
  </si>
  <si>
    <t>Data governance, Compliance, Cross-functional technical leadership</t>
  </si>
  <si>
    <t>consent management data model, MDM, operational data engineering</t>
  </si>
  <si>
    <t>https://docs.google.com/spreadsheets/d/19y1tPTOBzh2uY8sTTaGJbmq6KJBwvXypJaZ0R7_9JkU/edit?gid=0#gid=0</t>
  </si>
  <si>
    <t>Senior Knowledge Manager</t>
  </si>
  <si>
    <t>Leidos / USCYBERCOM J2</t>
  </si>
  <si>
    <t>OWL, RDF, SPARQL, Data Modeling, Semantic Layer</t>
  </si>
  <si>
    <t>Requirements analysis, Content management, Database alignment, Metrics</t>
  </si>
  <si>
    <t>DoD architecture standards, Cross-domain transfers, Team mentorship</t>
  </si>
  <si>
    <t>analytic production optimization, knowledge-capture processes, cross-domain data transfer</t>
  </si>
  <si>
    <t>data mesh, zero-copy architecture, SML/Semantic views</t>
  </si>
  <si>
    <t>UX Product Design Lead (Drones)</t>
  </si>
  <si>
    <t>Autonomous Robotics</t>
  </si>
  <si>
    <t>Figma, Android HIG, 3D Spatial awareness, AI tools, Prototyping</t>
  </si>
  <si>
    <t>Strategic storytelling, Ground truth customer research, Systems architecture</t>
  </si>
  <si>
    <t>3D spatial awareness, remote operations, ground control stations, operator trust</t>
  </si>
  <si>
    <t>Product Design Engineer</t>
  </si>
  <si>
    <t>Citizen</t>
  </si>
  <si>
    <t>Rapid prototyping, Interaction design, AI acceleration, System design</t>
  </si>
  <si>
    <t>0-1 product development, Product judgment, Entrepreneurial drive</t>
  </si>
  <si>
    <t>real-time safety network, live video UX, AI safety workflows</t>
  </si>
  <si>
    <t>SW Innovation Distinguished Designer UXUI</t>
  </si>
  <si>
    <t>Change Management, Service Blueprinting, Workshops</t>
  </si>
  <si>
    <t>Lenovo</t>
  </si>
  <si>
    <t>Multimodal interaction, Hardware/Software integration, Prototyping</t>
  </si>
  <si>
    <t>Executive design vision, Category creation, Cross-functional influence</t>
  </si>
  <si>
    <t>integrated physical-digital experiences, screenless interactions, spatial computing UI</t>
  </si>
  <si>
    <t>Disruption design, Design Intelligence framework, HCD</t>
  </si>
  <si>
    <t>Senior Decision Scientist</t>
  </si>
  <si>
    <t>BigBear.ai</t>
  </si>
  <si>
    <t>Applied psychology principles, Workflow redesign, Empirical evaluation</t>
  </si>
  <si>
    <t>Government/Defense clearance, Analytic judgment assessment</t>
  </si>
  <si>
    <t>analytic workflow redesign, worker productivity, decision-making evaluation</t>
  </si>
  <si>
    <t>https://docs.google.com/document/d/1QhTa8mGUzpU4Ut-q6t4fBmXiwa3XrUeRSzkiryR27Sg/edit?usp=sharing</t>
  </si>
  <si>
    <t>Total Structured Roles</t>
  </si>
  <si>
    <t>Decision Scientist II</t>
  </si>
  <si>
    <t>Electronic Arts (EA)</t>
  </si>
  <si>
    <t>Python, R, SQL, Predictive &amp; Prescriptive modeling, Tableau, Streamlit</t>
  </si>
  <si>
    <t>Executive communication, Experimentation frameworks, Technical mentorship</t>
  </si>
  <si>
    <t>fan intelligence, decision science models, responsible AI frameworks</t>
  </si>
  <si>
    <t>https://docs.google.com/document/d/1eTlZGVHKwdpmNTbVFze2Wr2wX27OUFJ96-DklGwMfiI/edit?tab=t.0#heading=h.tlllnmhp7osa</t>
  </si>
  <si>
    <t>Product Manager, Data Products</t>
  </si>
  <si>
    <t>AtScale</t>
  </si>
  <si>
    <t>Ontologies, Semantic Modeling Language (SML), MDX, DAX, Python, dbt</t>
  </si>
  <si>
    <t>Product strategy, Architectural coherence, Roadmapping</t>
  </si>
  <si>
    <t>metrics layer, semantic view translation, AI agent data consumption</t>
  </si>
  <si>
    <t>HSI Engineer</t>
  </si>
  <si>
    <t>Axiom Space</t>
  </si>
  <si>
    <t>Master Task Analysis, User research, Usability testing, NASA HSI standards</t>
  </si>
  <si>
    <t>Agile project management, Stakeholder alignment, Technical rigor</t>
  </si>
  <si>
    <t>commercial space station HSI, microgravity human factors, orbital settlement design</t>
  </si>
  <si>
    <t>Senior Design Thinking Consultant</t>
  </si>
  <si>
    <t>Enterprise Consulting</t>
  </si>
  <si>
    <t>Design thinking, Process optimization, Conflict negotiation</t>
  </si>
  <si>
    <t>Financial acumen, Decision quality, Organizational savvy</t>
  </si>
  <si>
    <t>operational UX, business skills integration, corporate alignment</t>
  </si>
  <si>
    <t>https://docs.google.com/document/d/1W4Pp_R-9C6GTBG1hi8ld-WHY7KfMKWq-x_cTQP-g1TY/edit?tab=t.0</t>
  </si>
  <si>
    <t>Knowledge Systems Architect / Ontologist</t>
  </si>
  <si>
    <t>Johns Hopkins APL</t>
  </si>
  <si>
    <t>OWL, RDF, SPARQL, TopBraid, Protégé, Python, Graph Databases</t>
  </si>
  <si>
    <t>National security requirements, Semantic expressivity tradeoffs, Problem solving</t>
  </si>
  <si>
    <t>domain ontologies, semantic web standards, W3C SOSA/SSN, SHACL validation</t>
  </si>
  <si>
    <t>https://docs.google.com/document/d/1fBUYxvqfn7DB7Y65gTScxr63ixP9W0WVBMbUrOGOXR0/edit?usp=sharing</t>
  </si>
  <si>
    <t>UX Field Researcher - Warfare</t>
  </si>
  <si>
    <t>SAIC / APG</t>
  </si>
  <si>
    <t>Field research, Contextual inquiry, Dovetail, Optimal Workshop, HSI</t>
  </si>
  <si>
    <t>Agile SAFe/Scrum, Stakeholder consensus, Tactical edge testing</t>
  </si>
  <si>
    <t>tactical edge UX, DDIL environments, warfighting software usability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</si>
</sst>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1.0"/>
      <color theme="1"/>
      <name val="Calibri"/>
      <scheme val="minor"/>
    </font>
    <font>
      <b/>
      <sz val="16.0"/>
      <color rgb="FF1F497D"/>
      <name val="Calibri"/>
    </font>
    <font>
      <b/>
      <sz val="11.0"/>
      <color rgb="FFFFFFFF"/>
      <name val="Calibri"/>
    </font>
    <font/>
    <font>
      <i/>
      <sz val="11.0"/>
      <color rgb="FF595959"/>
      <name val="Calibri"/>
    </font>
    <font>
      <sz val="10.0"/>
      <color rgb="FF000000"/>
      <name val="Calibri"/>
    </font>
    <font>
      <b/>
      <sz val="10.0"/>
      <color theme="1"/>
      <name val="Calibri"/>
    </font>
    <font>
      <sz val="10.0"/>
      <color rgb="FF0000FF"/>
      <name val="Calibri"/>
    </font>
    <font>
      <sz val="11.0"/>
      <color theme="1"/>
      <name val="Calibri"/>
    </font>
    <font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F2F5F9"/>
        <bgColor rgb="FFF2F5F9"/>
      </patternFill>
    </fill>
    <fill>
      <patternFill patternType="solid">
        <fgColor rgb="FFDCE6F1"/>
        <bgColor rgb="FFDCE6F1"/>
      </patternFill>
    </fill>
  </fills>
  <borders count="10">
    <border/>
    <border>
      <left/>
      <top/>
      <bottom/>
    </border>
    <border>
      <bottom style="medium">
        <color rgb="FF2F5496"/>
      </bottom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vertical="center"/>
    </xf>
    <xf borderId="2" fillId="2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2" fillId="2" fontId="2" numFmtId="0" xfId="0" applyAlignment="1" applyBorder="1" applyFill="1" applyFont="1">
      <alignment horizontal="left" vertical="center"/>
    </xf>
    <xf borderId="4" fillId="0" fontId="3" numFmtId="0" xfId="0" applyBorder="1" applyFont="1"/>
    <xf borderId="5" fillId="3" fontId="2" numFmtId="0" xfId="0" applyAlignment="1" applyBorder="1" applyFill="1" applyFont="1">
      <alignment horizontal="left" vertical="center"/>
    </xf>
    <xf borderId="0" fillId="0" fontId="4" numFmtId="0" xfId="0" applyFont="1"/>
    <xf borderId="5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6" fillId="0" fontId="5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horizontal="left" vertical="center"/>
    </xf>
    <xf borderId="6" fillId="0" fontId="5" numFmtId="0" xfId="0" applyBorder="1" applyFont="1"/>
    <xf borderId="6" fillId="0" fontId="6" numFmtId="0" xfId="0" applyBorder="1" applyFont="1"/>
    <xf borderId="6" fillId="0" fontId="5" numFmtId="0" xfId="0" applyAlignment="1" applyBorder="1" applyFont="1">
      <alignment horizontal="center"/>
    </xf>
    <xf borderId="6" fillId="0" fontId="7" numFmtId="0" xfId="0" applyBorder="1" applyFont="1"/>
    <xf borderId="6" fillId="4" fontId="5" numFmtId="0" xfId="0" applyAlignment="1" applyBorder="1" applyFill="1" applyFont="1">
      <alignment horizontal="center" readingOrder="0"/>
    </xf>
    <xf borderId="6" fillId="4" fontId="8" numFmtId="0" xfId="0" applyAlignment="1" applyBorder="1" applyFill="1" applyFont="1">
      <alignment horizontal="center" readingOrder="0"/>
    </xf>
    <xf borderId="6" fillId="4" fontId="5" numFmtId="0" xfId="0" applyBorder="1" applyFill="1" applyFont="1"/>
    <xf borderId="6" fillId="4" fontId="6" numFmtId="0" xfId="0" applyBorder="1" applyFill="1" applyFont="1"/>
    <xf borderId="6" fillId="4" fontId="5" numFmtId="0" xfId="0" applyAlignment="1" applyBorder="1" applyFill="1" applyFont="1">
      <alignment horizontal="center"/>
    </xf>
    <xf borderId="6" fillId="4" fontId="8" numFmtId="0" xfId="0" applyBorder="1" applyFill="1" applyFont="1"/>
    <xf borderId="6" fillId="4" fontId="7" numFmtId="0" xfId="0" applyBorder="1" applyFill="1" applyFont="1"/>
    <xf borderId="6" fillId="0" fontId="9" numFmtId="0" xfId="0" applyAlignment="1" applyBorder="1" applyFont="1">
      <alignment horizontal="center"/>
    </xf>
    <xf borderId="6" fillId="0" fontId="9" numFmtId="164" xfId="0" applyAlignment="1" applyBorder="1" applyFont="1" applyNumberFormat="1">
      <alignment horizontal="center"/>
    </xf>
    <xf borderId="6" fillId="4" fontId="8" numFmtId="0" xfId="0" applyAlignment="1" applyBorder="1" applyFill="1" applyFont="1">
      <alignment horizontal="center"/>
    </xf>
    <xf borderId="7" fillId="0" fontId="9" numFmtId="0" xfId="0" applyBorder="1" applyFont="1"/>
    <xf borderId="8" fillId="0" fontId="3" numFmtId="0" xfId="0" applyBorder="1" applyFont="1"/>
    <xf borderId="6" fillId="0" fontId="8" numFmtId="0" xfId="0" applyAlignment="1" applyBorder="1" applyFont="1">
      <alignment horizontal="center" readingOrder="0"/>
    </xf>
    <xf borderId="6" fillId="4" fontId="9" numFmtId="0" xfId="0" applyAlignment="1" applyBorder="1" applyFill="1" applyFont="1">
      <alignment horizontal="center"/>
    </xf>
    <xf borderId="6" fillId="4" fontId="9" numFmtId="164" xfId="0" applyAlignment="1" applyBorder="1" applyFill="1" applyFont="1" applyNumberFormat="1">
      <alignment horizontal="center"/>
    </xf>
    <xf borderId="7" fillId="4" fontId="9" numFmtId="0" xfId="0" applyBorder="1" applyFill="1" applyFont="1"/>
    <xf borderId="6" fillId="0" fontId="8" numFmtId="0" xfId="0" applyBorder="1" applyFont="1"/>
    <xf borderId="6" fillId="0" fontId="8" numFmtId="0" xfId="0" applyAlignment="1" applyBorder="1" applyFont="1">
      <alignment horizontal="center"/>
    </xf>
    <xf borderId="9" fillId="5" fontId="6" numFmtId="0" xfId="0" applyBorder="1" applyFill="1" applyFont="1"/>
    <xf borderId="9" fillId="5" fontId="6" numFmtId="0" xfId="0" applyAlignment="1" applyBorder="1" applyFill="1" applyFont="1">
      <alignment horizontal="center"/>
    </xf>
    <xf borderId="9" fillId="5" fontId="6" numFmtId="164" xfId="0" applyAlignment="1" applyBorder="1" applyFill="1" applyFont="1" applyNumberFormat="1">
      <alignment horizontal="center"/>
    </xf>
    <xf borderId="9" fillId="5" fontId="8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3" width="14.0"/>
    <col customWidth="1" min="4" max="4" width="45.0"/>
    <col customWidth="1" min="5" max="5" width="15.0"/>
    <col customWidth="1" min="6" max="6" width="45.0"/>
    <col customWidth="1" min="7" max="7" width="15.0"/>
    <col customWidth="1" min="8" max="26" width="8.71"/>
  </cols>
  <sheetData>
    <row r="1">
      <c r="A1" s="2" t="s">
        <v>0</v>
      </c>
      <c r="B1" s="4"/>
      <c r="C1" s="4"/>
      <c r="D1" s="4"/>
      <c r="E1" s="4"/>
      <c r="F1" s="4"/>
      <c r="G1" s="6"/>
    </row>
    <row r="2">
      <c r="A2" s="7" t="s">
        <v>5</v>
      </c>
      <c r="B2" s="9" t="s">
        <v>12</v>
      </c>
      <c r="D2" s="10" t="s">
        <v>13</v>
      </c>
      <c r="E2" s="6"/>
      <c r="F2" s="12" t="s">
        <v>15</v>
      </c>
      <c r="G2" s="6"/>
    </row>
    <row r="3">
      <c r="A3" s="14" t="s">
        <v>17</v>
      </c>
      <c r="B3" s="24">
        <f>COUNTIF('Cleaned Roles Dataset'!$C$3:$C$38, A3)</f>
        <v>5</v>
      </c>
      <c r="C3" s="25">
        <f t="shared" ref="C3:C10" si="1">B3/$B$11</f>
        <v>0.1428571429</v>
      </c>
      <c r="D3" s="27" t="s">
        <v>64</v>
      </c>
      <c r="E3" s="28"/>
      <c r="F3" s="27" t="s">
        <v>73</v>
      </c>
      <c r="G3" s="28"/>
    </row>
    <row r="4">
      <c r="A4" s="20" t="s">
        <v>48</v>
      </c>
      <c r="B4" s="30">
        <f>COUNTIF('Cleaned Roles Dataset'!$C$3:$C$38, A4)</f>
        <v>3</v>
      </c>
      <c r="C4" s="31">
        <f t="shared" si="1"/>
        <v>0.08571428571</v>
      </c>
      <c r="D4" s="32" t="s">
        <v>99</v>
      </c>
      <c r="E4" s="28"/>
      <c r="F4" s="32" t="s">
        <v>103</v>
      </c>
      <c r="G4" s="28"/>
    </row>
    <row r="5">
      <c r="A5" s="14" t="s">
        <v>18</v>
      </c>
      <c r="B5" s="24">
        <f>COUNTIF('Cleaned Roles Dataset'!$C$3:$C$38, A5)</f>
        <v>6</v>
      </c>
      <c r="C5" s="25">
        <f t="shared" si="1"/>
        <v>0.1714285714</v>
      </c>
      <c r="D5" s="27" t="s">
        <v>118</v>
      </c>
      <c r="E5" s="28"/>
      <c r="F5" s="27" t="s">
        <v>122</v>
      </c>
      <c r="G5" s="28"/>
    </row>
    <row r="6">
      <c r="A6" s="20" t="s">
        <v>30</v>
      </c>
      <c r="B6" s="30">
        <f>COUNTIF('Cleaned Roles Dataset'!$C$3:$C$38, A6)</f>
        <v>4</v>
      </c>
      <c r="C6" s="31">
        <f t="shared" si="1"/>
        <v>0.1142857143</v>
      </c>
      <c r="D6" s="32" t="s">
        <v>144</v>
      </c>
      <c r="E6" s="28"/>
      <c r="F6" s="32" t="s">
        <v>148</v>
      </c>
      <c r="G6" s="28"/>
    </row>
    <row r="7">
      <c r="A7" s="14" t="s">
        <v>110</v>
      </c>
      <c r="B7" s="24">
        <f>COUNTIF('Cleaned Roles Dataset'!$C$3:$C$38, A7)</f>
        <v>4</v>
      </c>
      <c r="C7" s="25">
        <f t="shared" si="1"/>
        <v>0.1142857143</v>
      </c>
      <c r="D7" s="27" t="s">
        <v>165</v>
      </c>
      <c r="E7" s="28"/>
      <c r="F7" s="27" t="s">
        <v>166</v>
      </c>
      <c r="G7" s="28"/>
    </row>
    <row r="8">
      <c r="A8" s="20" t="s">
        <v>84</v>
      </c>
      <c r="B8" s="30">
        <f>COUNTIF('Cleaned Roles Dataset'!$C$3:$C$38, A8)</f>
        <v>5</v>
      </c>
      <c r="C8" s="31">
        <f t="shared" si="1"/>
        <v>0.1428571429</v>
      </c>
      <c r="D8" s="32" t="s">
        <v>178</v>
      </c>
      <c r="E8" s="28"/>
      <c r="F8" s="32" t="s">
        <v>182</v>
      </c>
      <c r="G8" s="28"/>
    </row>
    <row r="9">
      <c r="A9" s="14" t="s">
        <v>137</v>
      </c>
      <c r="B9" s="24">
        <f>COUNTIF('Cleaned Roles Dataset'!$C$3:$C$38, A9)</f>
        <v>4</v>
      </c>
      <c r="C9" s="25">
        <f t="shared" si="1"/>
        <v>0.1142857143</v>
      </c>
      <c r="D9" s="27" t="s">
        <v>193</v>
      </c>
      <c r="E9" s="28"/>
      <c r="F9" s="27" t="s">
        <v>197</v>
      </c>
      <c r="G9" s="28"/>
    </row>
    <row r="10">
      <c r="A10" s="20" t="s">
        <v>77</v>
      </c>
      <c r="B10" s="30">
        <f>COUNTIF('Cleaned Roles Dataset'!$C$3:$C$38, A10)</f>
        <v>4</v>
      </c>
      <c r="C10" s="31">
        <f t="shared" si="1"/>
        <v>0.1142857143</v>
      </c>
      <c r="D10" s="32" t="s">
        <v>209</v>
      </c>
      <c r="E10" s="28"/>
      <c r="F10" s="32" t="s">
        <v>214</v>
      </c>
      <c r="G10" s="28"/>
    </row>
    <row r="11">
      <c r="A11" s="35" t="s">
        <v>221</v>
      </c>
      <c r="B11" s="36">
        <f t="shared" ref="B11:C11" si="2">SUM(B3:B10)</f>
        <v>35</v>
      </c>
      <c r="C11" s="37">
        <f t="shared" si="2"/>
        <v>1</v>
      </c>
      <c r="D11" s="38"/>
      <c r="E11" s="38"/>
      <c r="F11" s="38"/>
      <c r="G11" s="3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9">
    <mergeCell ref="A1:G1"/>
    <mergeCell ref="D2:E2"/>
    <mergeCell ref="F2:G2"/>
    <mergeCell ref="D6:E6"/>
    <mergeCell ref="D7:E7"/>
    <mergeCell ref="D8:E8"/>
    <mergeCell ref="D9:E9"/>
    <mergeCell ref="D10:E10"/>
    <mergeCell ref="F7:G7"/>
    <mergeCell ref="F8:G8"/>
    <mergeCell ref="F9:G9"/>
    <mergeCell ref="F10:G10"/>
    <mergeCell ref="D3:E3"/>
    <mergeCell ref="F3:G3"/>
    <mergeCell ref="D4:E4"/>
    <mergeCell ref="F4:G4"/>
    <mergeCell ref="D5:E5"/>
    <mergeCell ref="F5:G5"/>
    <mergeCell ref="F6:G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38.0"/>
    <col customWidth="1" min="3" max="3" width="30.0"/>
    <col customWidth="1" min="4" max="4" width="25.0"/>
    <col customWidth="1" min="5" max="6" width="42.0"/>
    <col customWidth="1" min="7" max="7" width="45.0"/>
    <col customWidth="1" min="8" max="8" width="35.0"/>
    <col customWidth="1" min="9" max="26" width="8.71"/>
  </cols>
  <sheetData>
    <row r="1">
      <c r="A1" s="1" t="s">
        <v>1</v>
      </c>
    </row>
    <row r="2">
      <c r="A2" s="3" t="s">
        <v>3</v>
      </c>
      <c r="B2" s="5" t="s">
        <v>4</v>
      </c>
      <c r="C2" s="3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</row>
    <row r="3">
      <c r="A3" s="11">
        <f>IF(B3="","",ROWS($B$3:B3))</f>
        <v>1</v>
      </c>
      <c r="B3" s="13" t="s">
        <v>16</v>
      </c>
      <c r="C3" s="15" t="s">
        <v>18</v>
      </c>
      <c r="D3" s="13" t="s">
        <v>20</v>
      </c>
      <c r="E3" s="13" t="s">
        <v>21</v>
      </c>
      <c r="F3" s="13" t="s">
        <v>23</v>
      </c>
      <c r="G3" s="13" t="s">
        <v>24</v>
      </c>
      <c r="H3" s="16" t="s">
        <v>26</v>
      </c>
    </row>
    <row r="4">
      <c r="A4" s="17">
        <v>2.0</v>
      </c>
      <c r="B4" s="19" t="s">
        <v>28</v>
      </c>
      <c r="C4" s="21" t="s">
        <v>30</v>
      </c>
      <c r="D4" s="19" t="s">
        <v>31</v>
      </c>
      <c r="E4" s="19" t="s">
        <v>32</v>
      </c>
      <c r="F4" s="19" t="s">
        <v>33</v>
      </c>
      <c r="G4" s="19" t="s">
        <v>34</v>
      </c>
      <c r="H4" s="23" t="s">
        <v>26</v>
      </c>
    </row>
    <row r="5">
      <c r="A5" s="11">
        <v>3.0</v>
      </c>
      <c r="B5" s="13" t="s">
        <v>37</v>
      </c>
      <c r="C5" s="15" t="s">
        <v>30</v>
      </c>
      <c r="D5" s="13" t="s">
        <v>38</v>
      </c>
      <c r="E5" s="13" t="s">
        <v>39</v>
      </c>
      <c r="F5" s="13" t="s">
        <v>40</v>
      </c>
      <c r="G5" s="13" t="s">
        <v>41</v>
      </c>
      <c r="H5" s="16" t="s">
        <v>26</v>
      </c>
    </row>
    <row r="6">
      <c r="A6" s="17">
        <v>4.0</v>
      </c>
      <c r="B6" s="19" t="s">
        <v>42</v>
      </c>
      <c r="C6" s="21" t="s">
        <v>18</v>
      </c>
      <c r="D6" s="19" t="s">
        <v>43</v>
      </c>
      <c r="E6" s="19" t="s">
        <v>44</v>
      </c>
      <c r="F6" s="19" t="s">
        <v>45</v>
      </c>
      <c r="G6" s="19" t="s">
        <v>46</v>
      </c>
      <c r="H6" s="23" t="s">
        <v>26</v>
      </c>
    </row>
    <row r="7">
      <c r="A7" s="11">
        <v>5.0</v>
      </c>
      <c r="B7" s="13" t="s">
        <v>47</v>
      </c>
      <c r="C7" s="15" t="s">
        <v>48</v>
      </c>
      <c r="D7" s="13" t="s">
        <v>49</v>
      </c>
      <c r="E7" s="13" t="s">
        <v>50</v>
      </c>
      <c r="F7" s="13" t="s">
        <v>51</v>
      </c>
      <c r="G7" s="13" t="s">
        <v>52</v>
      </c>
      <c r="H7" s="16" t="s">
        <v>26</v>
      </c>
    </row>
    <row r="8">
      <c r="A8" s="17">
        <v>6.0</v>
      </c>
      <c r="B8" s="19" t="s">
        <v>53</v>
      </c>
      <c r="C8" s="21" t="s">
        <v>17</v>
      </c>
      <c r="D8" s="19" t="s">
        <v>54</v>
      </c>
      <c r="E8" s="19" t="s">
        <v>55</v>
      </c>
      <c r="F8" s="19" t="s">
        <v>56</v>
      </c>
      <c r="G8" s="19" t="s">
        <v>57</v>
      </c>
      <c r="H8" s="23" t="s">
        <v>58</v>
      </c>
    </row>
    <row r="9">
      <c r="A9" s="11">
        <v>7.0</v>
      </c>
      <c r="B9" s="13" t="s">
        <v>59</v>
      </c>
      <c r="C9" s="15" t="s">
        <v>17</v>
      </c>
      <c r="D9" s="13" t="s">
        <v>60</v>
      </c>
      <c r="E9" s="13" t="s">
        <v>61</v>
      </c>
      <c r="F9" s="13" t="s">
        <v>62</v>
      </c>
      <c r="G9" s="13" t="s">
        <v>63</v>
      </c>
      <c r="H9" s="16" t="s">
        <v>26</v>
      </c>
    </row>
    <row r="10">
      <c r="A10" s="17">
        <v>8.0</v>
      </c>
      <c r="B10" s="19" t="s">
        <v>65</v>
      </c>
      <c r="C10" s="21" t="s">
        <v>30</v>
      </c>
      <c r="D10" s="19" t="s">
        <v>66</v>
      </c>
      <c r="E10" s="19" t="s">
        <v>67</v>
      </c>
      <c r="F10" s="19" t="s">
        <v>68</v>
      </c>
      <c r="G10" s="19" t="s">
        <v>69</v>
      </c>
      <c r="H10" s="23" t="s">
        <v>26</v>
      </c>
    </row>
    <row r="11">
      <c r="A11" s="11">
        <v>9.0</v>
      </c>
      <c r="B11" s="13" t="s">
        <v>70</v>
      </c>
      <c r="C11" s="15" t="s">
        <v>30</v>
      </c>
      <c r="D11" s="13" t="s">
        <v>71</v>
      </c>
      <c r="E11" s="13" t="s">
        <v>72</v>
      </c>
      <c r="F11" s="13" t="s">
        <v>74</v>
      </c>
      <c r="G11" s="13" t="s">
        <v>75</v>
      </c>
      <c r="H11" s="16" t="s">
        <v>26</v>
      </c>
    </row>
    <row r="12">
      <c r="A12" s="17">
        <v>10.0</v>
      </c>
      <c r="B12" s="19" t="s">
        <v>76</v>
      </c>
      <c r="C12" s="21" t="s">
        <v>77</v>
      </c>
      <c r="D12" s="19" t="s">
        <v>78</v>
      </c>
      <c r="E12" s="19" t="s">
        <v>79</v>
      </c>
      <c r="F12" s="19" t="s">
        <v>80</v>
      </c>
      <c r="G12" s="19" t="s">
        <v>81</v>
      </c>
      <c r="H12" s="23" t="s">
        <v>82</v>
      </c>
    </row>
    <row r="13">
      <c r="A13" s="11">
        <v>11.0</v>
      </c>
      <c r="B13" s="13" t="s">
        <v>83</v>
      </c>
      <c r="C13" s="15" t="s">
        <v>84</v>
      </c>
      <c r="D13" s="13" t="s">
        <v>85</v>
      </c>
      <c r="E13" s="13" t="s">
        <v>86</v>
      </c>
      <c r="F13" s="13" t="s">
        <v>87</v>
      </c>
      <c r="G13" s="13" t="s">
        <v>88</v>
      </c>
      <c r="H13" s="16" t="s">
        <v>89</v>
      </c>
    </row>
    <row r="14">
      <c r="A14" s="17">
        <v>12.0</v>
      </c>
      <c r="B14" s="19" t="s">
        <v>90</v>
      </c>
      <c r="C14" s="21" t="s">
        <v>84</v>
      </c>
      <c r="D14" s="19" t="s">
        <v>91</v>
      </c>
      <c r="E14" s="19" t="s">
        <v>92</v>
      </c>
      <c r="F14" s="19" t="s">
        <v>93</v>
      </c>
      <c r="G14" s="19" t="s">
        <v>94</v>
      </c>
      <c r="H14" s="23" t="s">
        <v>95</v>
      </c>
    </row>
    <row r="15">
      <c r="A15" s="11">
        <v>13.0</v>
      </c>
      <c r="B15" s="13" t="s">
        <v>97</v>
      </c>
      <c r="C15" s="15" t="s">
        <v>18</v>
      </c>
      <c r="D15" s="13" t="s">
        <v>98</v>
      </c>
      <c r="E15" s="13" t="s">
        <v>100</v>
      </c>
      <c r="F15" s="13" t="s">
        <v>101</v>
      </c>
      <c r="G15" s="13" t="s">
        <v>102</v>
      </c>
      <c r="H15" s="16" t="s">
        <v>26</v>
      </c>
    </row>
    <row r="16">
      <c r="A16" s="17">
        <v>14.0</v>
      </c>
      <c r="B16" s="19" t="s">
        <v>104</v>
      </c>
      <c r="C16" s="21" t="s">
        <v>17</v>
      </c>
      <c r="D16" s="19" t="s">
        <v>105</v>
      </c>
      <c r="E16" s="19" t="s">
        <v>106</v>
      </c>
      <c r="F16" s="19" t="s">
        <v>107</v>
      </c>
      <c r="G16" s="19" t="s">
        <v>108</v>
      </c>
      <c r="H16" s="23" t="s">
        <v>26</v>
      </c>
    </row>
    <row r="17">
      <c r="A17" s="11">
        <v>15.0</v>
      </c>
      <c r="B17" s="13" t="s">
        <v>109</v>
      </c>
      <c r="C17" s="15" t="s">
        <v>110</v>
      </c>
      <c r="D17" s="13" t="s">
        <v>111</v>
      </c>
      <c r="E17" s="13" t="s">
        <v>113</v>
      </c>
      <c r="F17" s="13" t="s">
        <v>114</v>
      </c>
      <c r="G17" s="13" t="s">
        <v>115</v>
      </c>
      <c r="H17" s="16" t="s">
        <v>117</v>
      </c>
    </row>
    <row r="18">
      <c r="A18" s="17">
        <v>16.0</v>
      </c>
      <c r="B18" s="19" t="s">
        <v>119</v>
      </c>
      <c r="C18" s="21" t="s">
        <v>84</v>
      </c>
      <c r="D18" s="19" t="s">
        <v>120</v>
      </c>
      <c r="E18" s="19" t="s">
        <v>121</v>
      </c>
      <c r="F18" s="19" t="s">
        <v>123</v>
      </c>
      <c r="G18" s="19" t="s">
        <v>125</v>
      </c>
      <c r="H18" s="23" t="s">
        <v>126</v>
      </c>
    </row>
    <row r="19" ht="15.75" customHeight="1">
      <c r="A19" s="11">
        <v>17.0</v>
      </c>
      <c r="B19" s="13" t="s">
        <v>128</v>
      </c>
      <c r="C19" s="15" t="s">
        <v>84</v>
      </c>
      <c r="D19" s="13" t="s">
        <v>129</v>
      </c>
      <c r="E19" s="13" t="s">
        <v>131</v>
      </c>
      <c r="F19" s="13" t="s">
        <v>132</v>
      </c>
      <c r="G19" s="13" t="s">
        <v>134</v>
      </c>
      <c r="H19" s="16" t="s">
        <v>26</v>
      </c>
    </row>
    <row r="20" ht="15.75" customHeight="1">
      <c r="A20" s="17">
        <v>18.0</v>
      </c>
      <c r="B20" s="19" t="s">
        <v>138</v>
      </c>
      <c r="C20" s="21" t="s">
        <v>84</v>
      </c>
      <c r="D20" s="19" t="s">
        <v>141</v>
      </c>
      <c r="E20" s="19" t="s">
        <v>142</v>
      </c>
      <c r="F20" s="19" t="s">
        <v>145</v>
      </c>
      <c r="G20" s="19" t="s">
        <v>146</v>
      </c>
      <c r="H20" s="23" t="s">
        <v>26</v>
      </c>
    </row>
    <row r="21" ht="15.75" customHeight="1">
      <c r="A21" s="11">
        <v>19.0</v>
      </c>
      <c r="B21" s="13" t="s">
        <v>150</v>
      </c>
      <c r="C21" s="15" t="s">
        <v>17</v>
      </c>
      <c r="D21" s="13" t="s">
        <v>153</v>
      </c>
      <c r="E21" s="13" t="s">
        <v>154</v>
      </c>
      <c r="F21" s="13" t="s">
        <v>156</v>
      </c>
      <c r="G21" s="13" t="s">
        <v>158</v>
      </c>
      <c r="H21" s="16" t="s">
        <v>26</v>
      </c>
    </row>
    <row r="22" ht="15.75" customHeight="1">
      <c r="A22" s="17">
        <v>20.0</v>
      </c>
      <c r="B22" s="19" t="s">
        <v>160</v>
      </c>
      <c r="C22" s="21" t="s">
        <v>17</v>
      </c>
      <c r="D22" s="19" t="s">
        <v>161</v>
      </c>
      <c r="E22" s="19" t="s">
        <v>162</v>
      </c>
      <c r="F22" s="19" t="s">
        <v>163</v>
      </c>
      <c r="G22" s="19" t="s">
        <v>164</v>
      </c>
      <c r="H22" s="23" t="s">
        <v>26</v>
      </c>
    </row>
    <row r="23" ht="15.75" customHeight="1">
      <c r="A23" s="11">
        <v>21.0</v>
      </c>
      <c r="B23" s="13" t="s">
        <v>167</v>
      </c>
      <c r="C23" s="15" t="s">
        <v>77</v>
      </c>
      <c r="D23" s="13" t="s">
        <v>168</v>
      </c>
      <c r="E23" s="13" t="s">
        <v>169</v>
      </c>
      <c r="F23" s="13" t="s">
        <v>170</v>
      </c>
      <c r="G23" s="13" t="s">
        <v>171</v>
      </c>
      <c r="H23" s="16" t="s">
        <v>172</v>
      </c>
    </row>
    <row r="24" ht="15.75" customHeight="1">
      <c r="A24" s="17">
        <v>22.0</v>
      </c>
      <c r="B24" s="19" t="s">
        <v>173</v>
      </c>
      <c r="C24" s="21" t="s">
        <v>77</v>
      </c>
      <c r="D24" s="19" t="s">
        <v>174</v>
      </c>
      <c r="E24" s="19" t="s">
        <v>175</v>
      </c>
      <c r="F24" s="19" t="s">
        <v>176</v>
      </c>
      <c r="G24" s="19" t="s">
        <v>177</v>
      </c>
      <c r="H24" s="23" t="s">
        <v>26</v>
      </c>
    </row>
    <row r="25" ht="15.75" customHeight="1">
      <c r="A25" s="11">
        <v>23.0</v>
      </c>
      <c r="B25" s="13" t="s">
        <v>179</v>
      </c>
      <c r="C25" s="15" t="s">
        <v>18</v>
      </c>
      <c r="D25" s="13" t="s">
        <v>180</v>
      </c>
      <c r="E25" s="13" t="s">
        <v>181</v>
      </c>
      <c r="F25" s="13" t="s">
        <v>183</v>
      </c>
      <c r="G25" s="13" t="s">
        <v>184</v>
      </c>
      <c r="H25" s="16" t="s">
        <v>26</v>
      </c>
    </row>
    <row r="26" ht="15.75" customHeight="1">
      <c r="A26" s="17">
        <v>24.0</v>
      </c>
      <c r="B26" s="19" t="s">
        <v>185</v>
      </c>
      <c r="C26" s="21" t="s">
        <v>137</v>
      </c>
      <c r="D26" s="19" t="s">
        <v>186</v>
      </c>
      <c r="E26" s="19" t="s">
        <v>187</v>
      </c>
      <c r="F26" s="19" t="s">
        <v>188</v>
      </c>
      <c r="G26" s="19" t="s">
        <v>189</v>
      </c>
      <c r="H26" s="23" t="s">
        <v>190</v>
      </c>
    </row>
    <row r="27" ht="15.75" customHeight="1">
      <c r="A27" s="11">
        <v>25.0</v>
      </c>
      <c r="B27" s="13" t="s">
        <v>191</v>
      </c>
      <c r="C27" s="15" t="s">
        <v>137</v>
      </c>
      <c r="D27" s="13" t="s">
        <v>192</v>
      </c>
      <c r="E27" s="13" t="s">
        <v>194</v>
      </c>
      <c r="F27" s="13" t="s">
        <v>195</v>
      </c>
      <c r="G27" s="13" t="s">
        <v>196</v>
      </c>
      <c r="H27" s="16" t="s">
        <v>26</v>
      </c>
    </row>
    <row r="28" ht="15.75" customHeight="1">
      <c r="A28" s="17">
        <v>26.0</v>
      </c>
      <c r="B28" s="19" t="s">
        <v>198</v>
      </c>
      <c r="C28" s="21" t="s">
        <v>110</v>
      </c>
      <c r="D28" s="19" t="s">
        <v>199</v>
      </c>
      <c r="E28" s="19" t="s">
        <v>200</v>
      </c>
      <c r="F28" s="19" t="s">
        <v>201</v>
      </c>
      <c r="G28" s="19" t="s">
        <v>202</v>
      </c>
      <c r="H28" s="23" t="s">
        <v>26</v>
      </c>
    </row>
    <row r="29" ht="15.75" customHeight="1">
      <c r="A29" s="11">
        <v>27.0</v>
      </c>
      <c r="B29" s="13" t="s">
        <v>203</v>
      </c>
      <c r="C29" s="15" t="s">
        <v>18</v>
      </c>
      <c r="D29" s="13" t="s">
        <v>204</v>
      </c>
      <c r="E29" s="13" t="s">
        <v>205</v>
      </c>
      <c r="F29" s="13" t="s">
        <v>206</v>
      </c>
      <c r="G29" s="13" t="s">
        <v>207</v>
      </c>
      <c r="H29" s="16" t="s">
        <v>26</v>
      </c>
    </row>
    <row r="30" ht="15.75" customHeight="1">
      <c r="A30" s="17">
        <v>28.0</v>
      </c>
      <c r="B30" s="19" t="s">
        <v>208</v>
      </c>
      <c r="C30" s="21" t="s">
        <v>18</v>
      </c>
      <c r="D30" s="19" t="s">
        <v>210</v>
      </c>
      <c r="E30" s="19" t="s">
        <v>211</v>
      </c>
      <c r="F30" s="19" t="s">
        <v>212</v>
      </c>
      <c r="G30" s="19" t="s">
        <v>213</v>
      </c>
      <c r="H30" s="23" t="s">
        <v>26</v>
      </c>
    </row>
    <row r="31" ht="15.75" customHeight="1">
      <c r="A31" s="11">
        <v>29.0</v>
      </c>
      <c r="B31" s="13" t="s">
        <v>215</v>
      </c>
      <c r="C31" s="15" t="s">
        <v>48</v>
      </c>
      <c r="D31" s="13" t="s">
        <v>216</v>
      </c>
      <c r="E31" s="13" t="s">
        <v>217</v>
      </c>
      <c r="F31" s="13" t="s">
        <v>218</v>
      </c>
      <c r="G31" s="13" t="s">
        <v>219</v>
      </c>
      <c r="H31" s="16" t="s">
        <v>220</v>
      </c>
    </row>
    <row r="32" ht="15.75" customHeight="1">
      <c r="A32" s="17">
        <v>30.0</v>
      </c>
      <c r="B32" s="19" t="s">
        <v>222</v>
      </c>
      <c r="C32" s="21" t="s">
        <v>48</v>
      </c>
      <c r="D32" s="19" t="s">
        <v>223</v>
      </c>
      <c r="E32" s="19" t="s">
        <v>224</v>
      </c>
      <c r="F32" s="19" t="s">
        <v>225</v>
      </c>
      <c r="G32" s="19" t="s">
        <v>226</v>
      </c>
      <c r="H32" s="23" t="s">
        <v>227</v>
      </c>
    </row>
    <row r="33" ht="15.75" customHeight="1">
      <c r="A33" s="11">
        <v>31.0</v>
      </c>
      <c r="B33" s="13" t="s">
        <v>228</v>
      </c>
      <c r="C33" s="15" t="s">
        <v>137</v>
      </c>
      <c r="D33" s="13" t="s">
        <v>229</v>
      </c>
      <c r="E33" s="13" t="s">
        <v>230</v>
      </c>
      <c r="F33" s="13" t="s">
        <v>231</v>
      </c>
      <c r="G33" s="13" t="s">
        <v>232</v>
      </c>
      <c r="H33" s="16" t="s">
        <v>26</v>
      </c>
    </row>
    <row r="34" ht="15.75" customHeight="1">
      <c r="A34" s="17">
        <v>32.0</v>
      </c>
      <c r="B34" s="19" t="s">
        <v>233</v>
      </c>
      <c r="C34" s="21" t="s">
        <v>110</v>
      </c>
      <c r="D34" s="19" t="s">
        <v>234</v>
      </c>
      <c r="E34" s="19" t="s">
        <v>235</v>
      </c>
      <c r="F34" s="19" t="s">
        <v>236</v>
      </c>
      <c r="G34" s="19" t="s">
        <v>237</v>
      </c>
      <c r="H34" s="23" t="s">
        <v>227</v>
      </c>
    </row>
    <row r="35" ht="15.75" customHeight="1">
      <c r="A35" s="11">
        <v>33.0</v>
      </c>
      <c r="B35" s="13" t="s">
        <v>238</v>
      </c>
      <c r="C35" s="15" t="s">
        <v>77</v>
      </c>
      <c r="D35" s="13" t="s">
        <v>239</v>
      </c>
      <c r="E35" s="13" t="s">
        <v>240</v>
      </c>
      <c r="F35" s="13" t="s">
        <v>241</v>
      </c>
      <c r="G35" s="13" t="s">
        <v>242</v>
      </c>
      <c r="H35" s="16" t="s">
        <v>243</v>
      </c>
    </row>
    <row r="36" ht="15.75" customHeight="1">
      <c r="A36" s="17">
        <v>34.0</v>
      </c>
      <c r="B36" s="19" t="s">
        <v>244</v>
      </c>
      <c r="C36" s="21" t="s">
        <v>137</v>
      </c>
      <c r="D36" s="19" t="s">
        <v>245</v>
      </c>
      <c r="E36" s="19" t="s">
        <v>246</v>
      </c>
      <c r="F36" s="19" t="s">
        <v>247</v>
      </c>
      <c r="G36" s="19" t="s">
        <v>248</v>
      </c>
      <c r="H36" s="23" t="s">
        <v>249</v>
      </c>
    </row>
    <row r="37" ht="15.75" customHeight="1">
      <c r="A37" s="11">
        <v>35.0</v>
      </c>
      <c r="B37" s="13" t="s">
        <v>250</v>
      </c>
      <c r="C37" s="15" t="s">
        <v>110</v>
      </c>
      <c r="D37" s="13" t="s">
        <v>251</v>
      </c>
      <c r="E37" s="13" t="s">
        <v>252</v>
      </c>
      <c r="F37" s="13" t="s">
        <v>253</v>
      </c>
      <c r="G37" s="13" t="s">
        <v>254</v>
      </c>
      <c r="H37" s="16" t="s">
        <v>26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2:$H$37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35.0"/>
    <col customWidth="1" min="3" max="3" width="30.0"/>
    <col customWidth="1" min="4" max="4" width="55.0"/>
    <col customWidth="1" min="5" max="5" width="22.0"/>
    <col customWidth="1" min="6" max="25" width="8.71"/>
  </cols>
  <sheetData>
    <row r="1">
      <c r="A1" s="1" t="s">
        <v>2</v>
      </c>
    </row>
    <row r="2">
      <c r="A2" s="8" t="s">
        <v>11</v>
      </c>
    </row>
    <row r="4">
      <c r="A4" s="2" t="s">
        <v>14</v>
      </c>
      <c r="B4" s="4"/>
      <c r="C4" s="4"/>
      <c r="D4" s="4"/>
      <c r="E4" s="6"/>
    </row>
    <row r="5">
      <c r="A5" s="9" t="s">
        <v>19</v>
      </c>
      <c r="B5" s="7" t="s">
        <v>22</v>
      </c>
      <c r="C5" s="7" t="s">
        <v>5</v>
      </c>
      <c r="D5" s="7" t="s">
        <v>25</v>
      </c>
      <c r="E5" s="9" t="s">
        <v>27</v>
      </c>
    </row>
    <row r="6">
      <c r="A6" s="18">
        <v>1.0</v>
      </c>
      <c r="B6" s="20" t="s">
        <v>29</v>
      </c>
      <c r="C6" s="22" t="s">
        <v>17</v>
      </c>
      <c r="D6" s="22" t="s">
        <v>35</v>
      </c>
      <c r="E6" s="26" t="s">
        <v>36</v>
      </c>
    </row>
    <row r="7">
      <c r="A7" s="29">
        <v>2.0</v>
      </c>
      <c r="B7" s="14" t="s">
        <v>96</v>
      </c>
      <c r="C7" s="33" t="s">
        <v>17</v>
      </c>
      <c r="D7" s="33" t="s">
        <v>112</v>
      </c>
      <c r="E7" s="34" t="s">
        <v>116</v>
      </c>
    </row>
    <row r="8">
      <c r="A8" s="18">
        <v>3.0</v>
      </c>
      <c r="B8" s="20" t="s">
        <v>124</v>
      </c>
      <c r="C8" s="22" t="s">
        <v>48</v>
      </c>
      <c r="D8" s="22" t="s">
        <v>127</v>
      </c>
      <c r="E8" s="26" t="s">
        <v>36</v>
      </c>
    </row>
    <row r="9">
      <c r="A9" s="29">
        <v>4.0</v>
      </c>
      <c r="B9" s="14" t="s">
        <v>130</v>
      </c>
      <c r="C9" s="33" t="s">
        <v>110</v>
      </c>
      <c r="D9" s="33" t="s">
        <v>133</v>
      </c>
      <c r="E9" s="34" t="s">
        <v>135</v>
      </c>
    </row>
    <row r="10">
      <c r="A10" s="18">
        <v>5.0</v>
      </c>
      <c r="B10" s="20" t="s">
        <v>136</v>
      </c>
      <c r="C10" s="22" t="s">
        <v>137</v>
      </c>
      <c r="D10" s="22" t="s">
        <v>139</v>
      </c>
      <c r="E10" s="26" t="s">
        <v>140</v>
      </c>
    </row>
    <row r="11">
      <c r="A11" s="29">
        <v>6.0</v>
      </c>
      <c r="B11" s="14" t="s">
        <v>143</v>
      </c>
      <c r="C11" s="33" t="s">
        <v>84</v>
      </c>
      <c r="D11" s="33" t="s">
        <v>147</v>
      </c>
      <c r="E11" s="34" t="s">
        <v>36</v>
      </c>
    </row>
    <row r="12">
      <c r="A12" s="18">
        <v>7.0</v>
      </c>
      <c r="B12" s="20" t="s">
        <v>149</v>
      </c>
      <c r="C12" s="22" t="s">
        <v>30</v>
      </c>
      <c r="D12" s="22" t="s">
        <v>151</v>
      </c>
      <c r="E12" s="26" t="s">
        <v>152</v>
      </c>
    </row>
    <row r="13">
      <c r="A13" s="29">
        <v>8.0</v>
      </c>
      <c r="B13" s="14" t="s">
        <v>155</v>
      </c>
      <c r="C13" s="33" t="s">
        <v>110</v>
      </c>
      <c r="D13" s="33" t="s">
        <v>157</v>
      </c>
      <c r="E13" s="34" t="s">
        <v>159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2026-09-23T13:43:30Z</dcterms:created>
  <dc:creator>openpyxl</dc:creator>
</cp:coreProperties>
</file>